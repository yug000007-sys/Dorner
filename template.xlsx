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C:\Users\Lalit\Downloads\"/>
    </mc:Choice>
  </mc:AlternateContent>
  <xr:revisionPtr revIDLastSave="0" documentId="13_ncr:1_{78F7FAAA-ACC9-46BE-A3B9-2DABF2B04808}"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52511"/>
</workbook>
</file>

<file path=xl/sharedStrings.xml><?xml version="1.0" encoding="utf-8"?>
<sst xmlns="http://schemas.openxmlformats.org/spreadsheetml/2006/main" count="78" uniqueCount="78">
  <si>
    <t>Referral</t>
  </si>
  <si>
    <t>ReferralEmail</t>
  </si>
  <si>
    <t>Brand</t>
  </si>
  <si>
    <t>ReceivedDateTime</t>
  </si>
  <si>
    <t>FirstName</t>
  </si>
  <si>
    <t>LastName</t>
  </si>
  <si>
    <t>ContactTitle</t>
  </si>
  <si>
    <t>Email</t>
  </si>
  <si>
    <t>Company</t>
  </si>
  <si>
    <t>Address</t>
  </si>
  <si>
    <t>County</t>
  </si>
  <si>
    <t>City</t>
  </si>
  <si>
    <t>State</t>
  </si>
  <si>
    <t>ZipCode</t>
  </si>
  <si>
    <t>Country</t>
  </si>
  <si>
    <t>LeadSource1</t>
  </si>
  <si>
    <t>LeadSource2</t>
  </si>
  <si>
    <t>LeadSource3</t>
  </si>
  <si>
    <t>LeadSource4</t>
  </si>
  <si>
    <t>LeadComments</t>
  </si>
  <si>
    <t>PhoneSupplied</t>
  </si>
  <si>
    <t>PhSuppliedExtension</t>
  </si>
  <si>
    <t>PhoneResearched</t>
  </si>
  <si>
    <t>CSRName</t>
  </si>
  <si>
    <t>PDF</t>
  </si>
  <si>
    <t>DUNS</t>
  </si>
  <si>
    <t>WebAddress</t>
  </si>
  <si>
    <t>SIC</t>
  </si>
  <si>
    <t>NAICS</t>
  </si>
  <si>
    <t>noOfEmployees</t>
  </si>
  <si>
    <t>ParentName</t>
  </si>
  <si>
    <t>LineOfBusiness</t>
  </si>
  <si>
    <t>Product</t>
  </si>
  <si>
    <t>Market</t>
  </si>
  <si>
    <t>PQ</t>
  </si>
  <si>
    <t>interestedIn</t>
  </si>
  <si>
    <t>crm_lead_id</t>
  </si>
  <si>
    <t>Latitude</t>
  </si>
  <si>
    <t>Longitude</t>
  </si>
  <si>
    <t>Keyword</t>
  </si>
  <si>
    <t>device</t>
  </si>
  <si>
    <t>DemoLead</t>
  </si>
  <si>
    <t>about_me</t>
  </si>
  <si>
    <t>college_1</t>
  </si>
  <si>
    <t>college_1_degree</t>
  </si>
  <si>
    <t>college_1_start</t>
  </si>
  <si>
    <t>college_1_end</t>
  </si>
  <si>
    <t>college_2</t>
  </si>
  <si>
    <t>college_2_degree</t>
  </si>
  <si>
    <t>college_2_start</t>
  </si>
  <si>
    <t>college_2_end</t>
  </si>
  <si>
    <t>month_of_joining</t>
  </si>
  <si>
    <t>about_experience</t>
  </si>
  <si>
    <t>Linkedin_Link</t>
  </si>
  <si>
    <t>Linkedin_Title</t>
  </si>
  <si>
    <t>searched_on_google</t>
  </si>
  <si>
    <t>linkedin_city</t>
  </si>
  <si>
    <t>linkedin_state</t>
  </si>
  <si>
    <t>linkedin_country</t>
  </si>
  <si>
    <t>Request For Quote</t>
  </si>
  <si>
    <t>USA</t>
  </si>
  <si>
    <t>Please find the following new RFQ and URGENT lead from Dorner Config and process accordingly. Kindly contact the customer to review the application to ensure the proper equipment is quoted based upon the application requirements. Please click on 'Click Here' below to view the lead details.</t>
  </si>
  <si>
    <t>Montratec</t>
  </si>
  <si>
    <t>Jon</t>
  </si>
  <si>
    <t>Lewis</t>
  </si>
  <si>
    <t>Applications</t>
  </si>
  <si>
    <t>jonl@farason.com</t>
  </si>
  <si>
    <t>Farason Corporation</t>
  </si>
  <si>
    <t>855 Fox Chase</t>
  </si>
  <si>
    <t>Coatesville</t>
  </si>
  <si>
    <t>PA</t>
  </si>
  <si>
    <t>610-383-6224</t>
  </si>
  <si>
    <t>JN210426.pdf, JN210426.msg, JN210426.doc</t>
  </si>
  <si>
    <t>78-626-2071</t>
  </si>
  <si>
    <t>www.farason.com</t>
  </si>
  <si>
    <t>Machinery And Equipment Manufacturing</t>
  </si>
  <si>
    <t>URGENT DORNER LEAD - Quote *EQUIPMENT* 2026042128767178</t>
  </si>
  <si>
    <t xml:space="preserve">Distributor:	Stokes
Customer Contact Info: 
Name:	Jon Lewis 
Title:	Applications 
Industry:	Custom Machine Builder 
Company:	Farason 
Phone:	6103836224 
Email:	jonl@farason.com Address:	Fox Chase Rd 855 
Suite 102
Coatesville  PA  19320  US 
Dorner Quote: 2026042128767178 	Grand Total: 	$34,824.00 	      
Garvey 	 	 
Qty 	Part Number / Description 	Unit Price 	  
1 	BF36 	$34,824.00 ea. 	  
 	BF36 Garvey Stainless Steel 3-Lane Bi-Flo Accumulator. 917.448 mm, (36.12 in) wide x 2928 mm, (115.28 in) long. Includes infeed section and includes discharge section. 1000 Millimeters (39.37 Inches) top of belt height +/- 38 millimeters, (1.50 inches) adjustment. Left hand drive with one SEW or Equivalent 1 HP, 80 rpm, 230 Volt 3Ph In, 230 Volt Out inverter rated gearmotor(s) provides up to 12.3 - 44.4 m/min, (40.5 - 145.8 f/min). Customer supplied VFD. A 24 VDC high-level sensor will be mounted (by Garvey) to the accumulator. The sensor will be supplied with a quick disconnect cable. The sensor cable will not be wired. Wiring and interface with Customer’s equipment (by Other). Includes double row side guiding for tall product. 	 	 
 	Total Equipment Price: 	$34,824.00 	 
 	Lead Time (Business Days) 	60 	 
 	Accumulator is configured to handle product that has a diameter of 85 Millimeters (3.35 Inches) and 85 Millimeters (3.35 Inches) tall each weighing 0.25 kgs., (0.55 lbs.). Maximum total product accumulation is estimated at 169 parts.. Maximum product rate is 348 parts per minute. Maximum total product weight on accumulator is 42.25 kgs., (93.15 lbs.). The required chain speed is 31.91 MPM. Product will side transfer (transfer and interface by Other) in single file from an existing conveyor and/or manual load table onto Bi-Flo. Bi-Flo will convey the product in single file or accumulate in mass depending on line conditions. Product will single file out and side transfer (transfer and interface by Other) on an existing conveyor. Product samples required for testing, prior to acceptance of order. It will be the responsibility of Others to provide interconnect/interface wiring. Line logic and control by Other. Terms: 40% due at placement of order, 60% due prior to shipment Lead time estimated at 12 Weeks, Actual Lead Time to be set at time of order. Lead Time commences at Receipt of PO and Signed Approval Drawing Freight: FOB Blue Anchor, NJ, Prepay and Add 	 	 
 	General Notes  
The end user is responsible for ensuring that product and debris does not migrate under the conveyor belt or into the conveyor as this can cause damage and premature wear. For small, thin or bulk product please contact Dorner to discuss the application and determine the best solution.
Most guiding and profiles have section breaks that match the conveyor section breaks. If continuous guiding/profiles are required, please contact Dorner before ordering.
Dimensions stated above are for reference only. Consult the Dorner catalog for actual dimensions.
Please call for lead times on quantities of 9 or more identical units or when total conveyor footage exceeds 100 feet.
Reference order acknowledgement for actual ship date.
Prices are F.O.B. Hartland, WI USA (Ex-Factory)
All orders are packaged appropriately for shipment within the USA and Canada. Any special packaging requirements for ocean, export or otherwise (i.e. pest free materials) must be clearly noted on the purchase order and may result in additional charges.
Expedited same day shipment of replacement parts may be possible, please consult the factory for current expedite fees and availability. 	 	 
 	 	Grand Total: 	$34,824.00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</si>
</sst>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7" x14ac:knownFonts="1">
    <font>
      <sz val="11"/>
      <color rgb="FF000000"/>
      <name val="Calibri"/>
    </font>
    <font>
      <sz val="11"/>
      <color rgb="FF000000"/>
      <name val="Arial"/>
      <family val="2"/>
    </font>
    <font>
      <sz val="11"/>
      <color theme="1"/>
      <name val="Arial"/>
      <family val="2"/>
    </font>
    <font>
      <u/>
      <sz val="11"/>
      <color theme="10"/>
      <name val="Calibri"/>
      <family val="2"/>
    </font>
    <font>
      <u/>
      <sz val="11"/>
      <color theme="10"/>
      <name val="Arial"/>
      <family val="2"/>
    </font>
    <font>
      <b/>
      <sz val="11"/>
      <color rgb="FF000000"/>
      <name val="Arial"/>
      <family val="2"/>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6" fillId="0" borderId="0"/>
  </cellStyleXfs>
  <cellXfs count="8">
    <xf numFmtId="0" fontId="0" fillId="0" borderId="0" xfId="0"/>
    <xf numFmtId="0" fontId="1" fillId="2" borderId="0" xfId="0" applyFont="1" applyFill="1"/>
    <xf numFmtId="0" fontId="2" fillId="2" borderId="0" xfId="0" applyFont="1" applyFill="1"/>
    <xf numFmtId="22" fontId="1" fillId="2" borderId="0" xfId="0" applyNumberFormat="1" applyFont="1" applyFill="1"/>
    <xf numFmtId="0" fontId="5" fillId="2" borderId="0" xfId="0" applyFont="1" applyFill="1"/>
    <xf numFmtId="164" fontId="1" fillId="2" borderId="0" xfId="0" applyNumberFormat="1" applyFont="1" applyFill="1" applyAlignment="1">
      <alignment horizontal="left"/>
    </xf>
    <xf numFmtId="0" fontId="4" fillId="2" borderId="0" xfId="1" applyNumberFormat="1" applyFont="1" applyFill="1" applyAlignment="1"/>
    <xf numFmtId="0" fontId="2" fillId="2" borderId="0" xfId="0" applyFont="1" applyFill="1" applyAlignment="1">
      <alignment horizontal="right"/>
    </xf>
  </cellXfs>
  <cellStyles count="3">
    <cellStyle name="Hyperlink" xfId="1" builtinId="8"/>
    <cellStyle name="Normal" xfId="0" builtinId="0"/>
    <cellStyle name="Normal 2" xfId="2" xr:uid="{00000000-0005-0000-0000-000002000000}"/>
  </cellStyles>
  <dxfs count="17">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ai.motion.com/" TargetMode="External"/><Relationship Id="rId1" Type="http://schemas.openxmlformats.org/officeDocument/2006/relationships/hyperlink" Target="mailto:jonl@faras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
  <sheetViews>
    <sheetView tabSelected="1" zoomScale="85" zoomScaleNormal="85" workbookViewId="0">
      <selection activeCell="A2" sqref="A2"/>
    </sheetView>
  </sheetViews>
  <sheetFormatPr defaultColWidth="9.44140625" defaultRowHeight="14.4" x14ac:dyDescent="0.3"/>
  <cols>
    <col min="1" max="1" width="7.6640625" bestFit="1" customWidth="1"/>
    <col min="2" max="2" width="12.44140625" bestFit="1" customWidth="1"/>
    <col min="3" max="3" width="10.21875" bestFit="1" customWidth="1"/>
    <col min="4" max="4" width="17" bestFit="1" customWidth="1"/>
    <col min="5" max="5" width="10.44140625" bestFit="1" customWidth="1"/>
    <col min="6" max="6" width="9.44140625" bestFit="1" customWidth="1"/>
    <col min="7" max="7" width="14.44140625" bestFit="1" customWidth="1"/>
    <col min="8" max="8" width="31.88671875" bestFit="1" customWidth="1"/>
    <col min="9" max="9" width="20.33203125" bestFit="1" customWidth="1"/>
    <col min="10" max="10" width="38.109375" bestFit="1" customWidth="1"/>
    <col min="11" max="11" width="6.77734375" bestFit="1" customWidth="1"/>
    <col min="12" max="12" width="11.21875" bestFit="1" customWidth="1"/>
    <col min="13" max="13" width="5.21875" bestFit="1" customWidth="1"/>
    <col min="14" max="14" width="9.6640625" bestFit="1" customWidth="1"/>
    <col min="15" max="15" width="8.44140625" bestFit="1" customWidth="1"/>
    <col min="16" max="16" width="18.6640625" bestFit="1" customWidth="1"/>
    <col min="17" max="19" width="11.6640625" bestFit="1" customWidth="1"/>
    <col min="20" max="20" width="255.77734375" bestFit="1" customWidth="1"/>
    <col min="21" max="21" width="14.88671875" bestFit="1" customWidth="1"/>
    <col min="22" max="22" width="18.6640625" bestFit="1" customWidth="1"/>
    <col min="23" max="23" width="16.21875" bestFit="1" customWidth="1"/>
    <col min="24" max="24" width="9.109375" bestFit="1" customWidth="1"/>
    <col min="25" max="25" width="53.21875" bestFit="1" customWidth="1"/>
    <col min="26" max="26" width="13" bestFit="1" customWidth="1"/>
    <col min="27" max="27" width="20.33203125" bestFit="1" customWidth="1"/>
    <col min="28" max="28" width="5.88671875" bestFit="1" customWidth="1"/>
    <col min="29" max="29" width="8.21875" bestFit="1" customWidth="1"/>
    <col min="30" max="30" width="14.33203125" bestFit="1" customWidth="1"/>
    <col min="31" max="31" width="11.33203125" bestFit="1" customWidth="1"/>
    <col min="32" max="32" width="38.88671875" bestFit="1" customWidth="1"/>
    <col min="33" max="33" width="7.44140625" bestFit="1" customWidth="1"/>
    <col min="34" max="34" width="6.88671875" bestFit="1" customWidth="1"/>
    <col min="35" max="35" width="3.33203125" bestFit="1" customWidth="1"/>
    <col min="36" max="36" width="11.109375" bestFit="1" customWidth="1"/>
    <col min="37" max="37" width="11.33203125" bestFit="1" customWidth="1"/>
    <col min="38" max="38" width="7.77734375" bestFit="1" customWidth="1"/>
    <col min="39" max="39" width="9.21875" bestFit="1" customWidth="1"/>
    <col min="40" max="40" width="67.5546875" bestFit="1" customWidth="1"/>
    <col min="41" max="41" width="255.77734375" bestFit="1" customWidth="1"/>
    <col min="42" max="42" width="9.88671875" bestFit="1" customWidth="1"/>
    <col min="44" max="44" width="9.109375" bestFit="1" customWidth="1"/>
    <col min="45" max="45" width="16.21875" bestFit="1" customWidth="1"/>
    <col min="46" max="46" width="14.21875" bestFit="1" customWidth="1"/>
    <col min="47" max="47" width="13.33203125" bestFit="1" customWidth="1"/>
    <col min="48" max="48" width="9.109375" bestFit="1" customWidth="1"/>
    <col min="49" max="49" width="16.21875" bestFit="1" customWidth="1"/>
    <col min="50" max="50" width="14.21875" bestFit="1" customWidth="1"/>
    <col min="51" max="51" width="13.33203125" bestFit="1" customWidth="1"/>
    <col min="52" max="52" width="15.88671875" bestFit="1" customWidth="1"/>
    <col min="53" max="53" width="16.21875" bestFit="1" customWidth="1"/>
    <col min="54" max="54" width="12.44140625" bestFit="1" customWidth="1"/>
    <col min="55" max="55" width="12.77734375" bestFit="1" customWidth="1"/>
    <col min="56" max="56" width="18.77734375" bestFit="1" customWidth="1"/>
    <col min="57" max="57" width="11.6640625" bestFit="1" customWidth="1"/>
    <col min="58" max="58" width="12.88671875" bestFit="1" customWidth="1"/>
    <col min="59" max="59" width="15" bestFit="1" customWidth="1"/>
  </cols>
  <sheetData>
    <row r="1" spans="1:5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s="1" customFormat="1" ht="13.8" x14ac:dyDescent="0.25">
      <c r="C2" s="1" t="s">
        <v>62</v>
      </c>
      <c r="D2" s="3">
        <v>46133.530555555553</v>
      </c>
      <c r="E2" s="1" t="s">
        <v>63</v>
      </c>
      <c r="F2" s="1" t="s">
        <v>64</v>
      </c>
      <c r="G2" s="1" t="s">
        <v>65</v>
      </c>
      <c r="H2" s="6" t="s">
        <v>66</v>
      </c>
      <c r="I2" s="2" t="s">
        <v>67</v>
      </c>
      <c r="J2" s="2" t="s">
        <v>68</v>
      </c>
      <c r="L2" s="2" t="s">
        <v>69</v>
      </c>
      <c r="M2" s="2" t="s">
        <v>70</v>
      </c>
      <c r="N2" s="7">
        <v>19320</v>
      </c>
      <c r="O2" s="1" t="s">
        <v>60</v>
      </c>
      <c r="P2" s="1" t="s">
        <v>59</v>
      </c>
      <c r="T2" s="2" t="s">
        <v>61</v>
      </c>
      <c r="U2" s="5">
        <v>6103836224</v>
      </c>
      <c r="W2" s="2" t="s">
        <v>71</v>
      </c>
      <c r="Y2" s="4" t="s">
        <v>72</v>
      </c>
      <c r="Z2" s="2" t="s">
        <v>73</v>
      </c>
      <c r="AA2" s="2" t="s">
        <v>74</v>
      </c>
      <c r="AB2" s="2">
        <v>3565</v>
      </c>
      <c r="AC2" s="2">
        <v>333993</v>
      </c>
      <c r="AD2" s="2">
        <v>40</v>
      </c>
      <c r="AF2" s="2" t="s">
        <v>75</v>
      </c>
      <c r="AN2" s="1" t="s">
        <v>76</v>
      </c>
      <c r="AO2" s="2" t="s">
        <v>77</v>
      </c>
    </row>
  </sheetData>
  <sheetProtection formatCells="0" formatColumns="0" formatRows="0" insertColumns="0" insertRows="0" insertHyperlinks="0" deleteColumns="0" deleteRows="0" sort="0" autoFilter="0" pivotTables="0"/>
  <conditionalFormatting sqref="AN1">
    <cfRule type="duplicateValues" dxfId="15" priority="129"/>
  </conditionalFormatting>
  <conditionalFormatting sqref="AO2">
    <cfRule type="duplicateValues" dxfId="4" priority="1"/>
    <cfRule type="containsText" dxfId="3" priority="2" operator="containsText" text="Montratec">
      <formula>NOT(ISERROR(SEARCH("Montratec",AO2)))</formula>
    </cfRule>
    <cfRule type="containsText" dxfId="2" priority="3" operator="containsText" text="AquaPruf">
      <formula>NOT(ISERROR(SEARCH("AquaPruf",AO2)))</formula>
    </cfRule>
    <cfRule type="containsText" dxfId="1" priority="4" operator="containsText" text="AquaGard">
      <formula>NOT(ISERROR(SEARCH("AquaGard",AO2)))</formula>
    </cfRule>
    <cfRule type="containsText" dxfId="0" priority="5" operator="containsText" text="Garvey">
      <formula>NOT(ISERROR(SEARCH("Garvey",AO2)))</formula>
    </cfRule>
  </conditionalFormatting>
  <hyperlinks>
    <hyperlink ref="H2" r:id="rId1" display="mailto:jonl@farason.com" xr:uid="{00000000-0004-0000-0000-000002000000}"/>
    <hyperlink ref="AA2" r:id="rId2" display="www.ai.motion.com"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Lalit Kumar</cp:lastModifiedBy>
  <dcterms:created xsi:type="dcterms:W3CDTF">2026-04-11T01:51:15Z</dcterms:created>
  <dcterms:modified xsi:type="dcterms:W3CDTF">2026-05-29T10:33:35Z</dcterms:modified>
  <cp:category/>
</cp:coreProperties>
</file>